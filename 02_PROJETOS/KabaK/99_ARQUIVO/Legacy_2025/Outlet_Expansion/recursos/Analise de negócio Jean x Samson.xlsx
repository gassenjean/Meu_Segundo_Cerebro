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onAtivaImportado\Desktop\"/>
    </mc:Choice>
  </mc:AlternateContent>
  <xr:revisionPtr revIDLastSave="0" documentId="8_{86721D73-FBF5-4B30-BE18-4485298BA9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6" i="1"/>
  <c r="C24" i="1"/>
  <c r="E30" i="1"/>
  <c r="F30" i="1"/>
  <c r="F31" i="1" s="1"/>
  <c r="G30" i="1"/>
  <c r="H30" i="1"/>
  <c r="H31" i="1" s="1"/>
  <c r="I30" i="1"/>
  <c r="I31" i="1" s="1"/>
  <c r="J30" i="1"/>
  <c r="K30" i="1"/>
  <c r="L30" i="1"/>
  <c r="L31" i="1" s="1"/>
  <c r="M30" i="1"/>
  <c r="N30" i="1"/>
  <c r="D30" i="1"/>
  <c r="D31" i="1"/>
  <c r="D29" i="1"/>
  <c r="O29" i="1"/>
  <c r="E29" i="1"/>
  <c r="F29" i="1"/>
  <c r="G29" i="1"/>
  <c r="H29" i="1"/>
  <c r="I29" i="1"/>
  <c r="J29" i="1"/>
  <c r="K29" i="1"/>
  <c r="L29" i="1"/>
  <c r="M29" i="1"/>
  <c r="N29" i="1"/>
  <c r="G31" i="1"/>
  <c r="N31" i="1"/>
  <c r="E31" i="1"/>
  <c r="J31" i="1"/>
  <c r="K31" i="1"/>
  <c r="M31" i="1"/>
  <c r="N15" i="1"/>
  <c r="N20" i="1" s="1"/>
  <c r="D7" i="1"/>
  <c r="D15" i="1" s="1"/>
  <c r="D20" i="1" s="1"/>
  <c r="E7" i="1"/>
  <c r="E15" i="1" s="1"/>
  <c r="E20" i="1" s="1"/>
  <c r="F7" i="1"/>
  <c r="F15" i="1" s="1"/>
  <c r="F20" i="1" s="1"/>
  <c r="G7" i="1"/>
  <c r="G15" i="1" s="1"/>
  <c r="G20" i="1" s="1"/>
  <c r="H7" i="1"/>
  <c r="H15" i="1" s="1"/>
  <c r="H20" i="1" s="1"/>
  <c r="I7" i="1"/>
  <c r="I15" i="1" s="1"/>
  <c r="I20" i="1" s="1"/>
  <c r="J7" i="1"/>
  <c r="J15" i="1" s="1"/>
  <c r="J20" i="1" s="1"/>
  <c r="K7" i="1"/>
  <c r="K15" i="1" s="1"/>
  <c r="K20" i="1" s="1"/>
  <c r="L7" i="1"/>
  <c r="L15" i="1" s="1"/>
  <c r="L20" i="1" s="1"/>
  <c r="M7" i="1"/>
  <c r="M15" i="1" s="1"/>
  <c r="M20" i="1" s="1"/>
  <c r="N7" i="1"/>
  <c r="C7" i="1"/>
  <c r="O4" i="1"/>
  <c r="O31" i="1" l="1"/>
  <c r="O30" i="1"/>
  <c r="C15" i="1"/>
  <c r="C20" i="1" s="1"/>
  <c r="O7" i="1"/>
  <c r="O15" i="1" s="1"/>
  <c r="O20" i="1" l="1"/>
  <c r="F22" i="1"/>
  <c r="F26" i="1"/>
  <c r="E22" i="1"/>
  <c r="E26" i="1"/>
  <c r="G22" i="1"/>
  <c r="G26" i="1"/>
  <c r="H22" i="1"/>
  <c r="H26" i="1"/>
  <c r="I22" i="1"/>
  <c r="I26" i="1"/>
  <c r="J22" i="1"/>
  <c r="J26" i="1"/>
  <c r="K22" i="1"/>
  <c r="K26" i="1"/>
  <c r="L22" i="1"/>
  <c r="L26" i="1"/>
  <c r="M22" i="1"/>
  <c r="M26" i="1"/>
  <c r="N22" i="1"/>
  <c r="N26" i="1"/>
  <c r="D22" i="1"/>
  <c r="D26" i="1"/>
  <c r="O26" i="1" l="1"/>
  <c r="O22" i="1" l="1"/>
  <c r="D24" i="1"/>
  <c r="D33" i="1" l="1"/>
  <c r="E24" i="1" s="1"/>
  <c r="E33" i="1" l="1"/>
  <c r="F24" i="1" s="1"/>
  <c r="F33" i="1" l="1"/>
  <c r="G24" i="1" s="1"/>
  <c r="G33" i="1" l="1"/>
  <c r="H24" i="1" s="1"/>
  <c r="H33" i="1" l="1"/>
  <c r="I24" i="1" s="1"/>
  <c r="I33" i="1" l="1"/>
  <c r="J24" i="1" s="1"/>
  <c r="J33" i="1" l="1"/>
  <c r="K24" i="1" s="1"/>
  <c r="K33" i="1" l="1"/>
  <c r="L24" i="1" s="1"/>
  <c r="L33" i="1" l="1"/>
  <c r="M24" i="1" s="1"/>
  <c r="M33" i="1" l="1"/>
  <c r="N24" i="1" s="1"/>
  <c r="N33" i="1" s="1"/>
</calcChain>
</file>

<file path=xl/sharedStrings.xml><?xml version="1.0" encoding="utf-8"?>
<sst xmlns="http://schemas.openxmlformats.org/spreadsheetml/2006/main" count="38" uniqueCount="38">
  <si>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</si>
  <si>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</si>
  <si>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</si>
  <si>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</si>
  <si>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</si>
  <si>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</si>
  <si>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</si>
  <si>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</si>
  <si>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</si>
  <si>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</si>
  <si>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</si>
  <si>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</si>
  <si>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Receita</t>
  </si>
  <si>
    <t>Marketing</t>
  </si>
  <si>
    <t>Aluguel</t>
  </si>
  <si>
    <t>Impostos</t>
  </si>
  <si>
    <t>Lucro</t>
  </si>
  <si>
    <t>Total</t>
  </si>
  <si>
    <t>Despesas e custos fixos</t>
  </si>
  <si>
    <t>Folha de pagamento</t>
  </si>
  <si>
    <t>Sub total</t>
  </si>
  <si>
    <t>Agua e luz</t>
  </si>
  <si>
    <t>Comissionamento de vendas</t>
  </si>
  <si>
    <t>Prolabore - retirada dos socios</t>
  </si>
  <si>
    <t>Caixa</t>
  </si>
  <si>
    <t>Total de retiradas</t>
  </si>
  <si>
    <t>Caixa após as retiradas</t>
  </si>
  <si>
    <t>Sansom (50%)</t>
  </si>
  <si>
    <t>Margem</t>
  </si>
  <si>
    <t>Quantidade de Carros Blindados 3A</t>
  </si>
  <si>
    <t>ANÁLISE DE NEGÓCIO - 2026</t>
  </si>
  <si>
    <t>Valor unitário (R$)</t>
  </si>
  <si>
    <t>Tecido</t>
  </si>
  <si>
    <t>Aviamento</t>
  </si>
  <si>
    <t>Produção</t>
  </si>
  <si>
    <t>Outras depesas</t>
  </si>
  <si>
    <t>Jean (50%)</t>
  </si>
  <si>
    <t>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</si>
</sst>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left"/>
    </xf>
    <xf numFmtId="3" fontId="0" fillId="0" borderId="1" xfId="0" applyNumberFormat="1" applyBorder="1" applyAlignment="1">
      <alignment horizontal="left"/>
    </xf>
    <xf numFmtId="3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left"/>
    </xf>
    <xf numFmtId="3" fontId="0" fillId="0" borderId="1" xfId="0" applyNumberFormat="1" applyBorder="1" applyAlignment="1">
      <alignment horizontal="center"/>
    </xf>
    <xf numFmtId="3" fontId="1" fillId="2" borderId="1" xfId="0" applyNumberFormat="1" applyFont="1" applyFill="1" applyBorder="1" applyAlignment="1">
      <alignment horizontal="left" vertical="top"/>
    </xf>
    <xf numFmtId="3" fontId="0" fillId="2" borderId="1" xfId="0" applyNumberForma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left" vertical="top"/>
    </xf>
    <xf numFmtId="3" fontId="0" fillId="0" borderId="2" xfId="0" applyNumberForma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0" fillId="3" borderId="0" xfId="0" applyNumberFormat="1" applyFill="1"/>
    <xf numFmtId="3" fontId="1" fillId="3" borderId="0" xfId="0" applyNumberFormat="1" applyFont="1" applyFill="1" applyAlignment="1">
      <alignment horizontal="left" vertical="top"/>
    </xf>
    <xf numFmtId="3" fontId="0" fillId="3" borderId="0" xfId="0" applyNumberFormat="1" applyFill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9"/>
  <sheetViews>
    <sheetView showGridLines="0" tabSelected="1" zoomScale="83" zoomScaleNormal="83" workbookViewId="0">
      <selection activeCell="C23" sqref="C23"/>
    </sheetView>
  </sheetViews>
  <sheetFormatPr defaultColWidth="8.796875" defaultRowHeight="14.25" x14ac:dyDescent="0.45"/>
  <cols>
    <col min="1" max="1" width="3.1328125" style="1" customWidth="1"/>
    <col min="2" max="2" width="36" style="4" customWidth="1"/>
    <col min="3" max="14" width="14" style="3" bestFit="1" customWidth="1"/>
    <col min="15" max="15" width="15" style="3" bestFit="1" customWidth="1"/>
    <col min="16" max="16384" width="8.796875" style="1"/>
  </cols>
  <sheetData>
    <row r="1" spans="2:15" ht="36" customHeight="1" thickBot="1" x14ac:dyDescent="0.5">
      <c r="B1" s="15" t="s">
        <v>30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3" spans="2:15" ht="14.65" thickBot="1" x14ac:dyDescent="0.5">
      <c r="B3" s="5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17</v>
      </c>
    </row>
    <row r="4" spans="2:15" s="3" customFormat="1" x14ac:dyDescent="0.45">
      <c r="B4" s="13" t="s">
        <v>29</v>
      </c>
      <c r="C4" s="14">
        <v>50000</v>
      </c>
      <c r="D4" s="14">
        <v>50000</v>
      </c>
      <c r="E4" s="14">
        <v>50000</v>
      </c>
      <c r="F4" s="14">
        <v>50000</v>
      </c>
      <c r="G4" s="14">
        <v>50000</v>
      </c>
      <c r="H4" s="14">
        <v>50000</v>
      </c>
      <c r="I4" s="14">
        <v>50000</v>
      </c>
      <c r="J4" s="14">
        <v>50000</v>
      </c>
      <c r="K4" s="14">
        <v>50000</v>
      </c>
      <c r="L4" s="14">
        <v>50000</v>
      </c>
      <c r="M4" s="14">
        <v>50000</v>
      </c>
      <c r="N4" s="14">
        <v>50000</v>
      </c>
      <c r="O4" s="14">
        <f>SUM(C4:N4)</f>
        <v>600000</v>
      </c>
    </row>
    <row r="5" spans="2:15" ht="14.65" thickBot="1" x14ac:dyDescent="0.5">
      <c r="B5" s="9" t="s">
        <v>31</v>
      </c>
      <c r="C5" s="10">
        <v>45</v>
      </c>
      <c r="D5" s="10">
        <v>45</v>
      </c>
      <c r="E5" s="10">
        <v>45</v>
      </c>
      <c r="F5" s="10">
        <v>45</v>
      </c>
      <c r="G5" s="10">
        <v>45</v>
      </c>
      <c r="H5" s="10">
        <v>45</v>
      </c>
      <c r="I5" s="10">
        <v>45</v>
      </c>
      <c r="J5" s="10">
        <v>45</v>
      </c>
      <c r="K5" s="10">
        <v>45</v>
      </c>
      <c r="L5" s="10">
        <v>45</v>
      </c>
      <c r="M5" s="10">
        <v>45</v>
      </c>
      <c r="N5" s="10">
        <v>45</v>
      </c>
      <c r="O5" s="10"/>
    </row>
    <row r="6" spans="2:15" x14ac:dyDescent="0.45">
      <c r="B6" s="6"/>
    </row>
    <row r="7" spans="2:15" ht="14.65" thickBot="1" x14ac:dyDescent="0.5">
      <c r="B7" s="9" t="s">
        <v>12</v>
      </c>
      <c r="C7" s="10">
        <f>C4*C5</f>
        <v>2250000</v>
      </c>
      <c r="D7" s="10">
        <f t="shared" ref="D7:N7" si="0">D4*D5</f>
        <v>2250000</v>
      </c>
      <c r="E7" s="10">
        <f t="shared" si="0"/>
        <v>2250000</v>
      </c>
      <c r="F7" s="10">
        <f t="shared" si="0"/>
        <v>2250000</v>
      </c>
      <c r="G7" s="10">
        <f t="shared" si="0"/>
        <v>2250000</v>
      </c>
      <c r="H7" s="10">
        <f t="shared" si="0"/>
        <v>2250000</v>
      </c>
      <c r="I7" s="10">
        <f t="shared" si="0"/>
        <v>2250000</v>
      </c>
      <c r="J7" s="10">
        <f t="shared" si="0"/>
        <v>2250000</v>
      </c>
      <c r="K7" s="10">
        <f t="shared" si="0"/>
        <v>2250000</v>
      </c>
      <c r="L7" s="10">
        <f t="shared" si="0"/>
        <v>2250000</v>
      </c>
      <c r="M7" s="10">
        <f t="shared" si="0"/>
        <v>2250000</v>
      </c>
      <c r="N7" s="10">
        <f t="shared" si="0"/>
        <v>2250000</v>
      </c>
      <c r="O7" s="10">
        <f>SUM(C7:N7)</f>
        <v>27000000</v>
      </c>
    </row>
    <row r="8" spans="2:15" x14ac:dyDescent="0.45">
      <c r="B8" s="6"/>
    </row>
    <row r="9" spans="2:15" ht="14.65" thickBot="1" x14ac:dyDescent="0.5">
      <c r="B9" s="9" t="s">
        <v>18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2:15" x14ac:dyDescent="0.45">
      <c r="B10" s="6" t="s">
        <v>32</v>
      </c>
    </row>
    <row r="11" spans="2:15" x14ac:dyDescent="0.45">
      <c r="B11" s="6" t="s">
        <v>33</v>
      </c>
    </row>
    <row r="12" spans="2:15" x14ac:dyDescent="0.45">
      <c r="B12" s="6" t="s">
        <v>34</v>
      </c>
    </row>
    <row r="13" spans="2:15" x14ac:dyDescent="0.45">
      <c r="B13" s="6" t="s">
        <v>13</v>
      </c>
      <c r="C13" s="3">
        <v>60000</v>
      </c>
      <c r="D13" s="3">
        <v>60000</v>
      </c>
      <c r="E13" s="3">
        <v>60000</v>
      </c>
      <c r="F13" s="3">
        <v>60000</v>
      </c>
      <c r="G13" s="3">
        <v>60000</v>
      </c>
      <c r="H13" s="3">
        <v>60000</v>
      </c>
      <c r="I13" s="3">
        <v>60000</v>
      </c>
      <c r="J13" s="3">
        <v>60000</v>
      </c>
      <c r="K13" s="3">
        <v>60000</v>
      </c>
      <c r="L13" s="3">
        <v>60000</v>
      </c>
      <c r="M13" s="3">
        <v>60000</v>
      </c>
      <c r="N13" s="3">
        <v>60000</v>
      </c>
      <c r="O13" s="3">
        <v>60000</v>
      </c>
    </row>
    <row r="14" spans="2:15" x14ac:dyDescent="0.45">
      <c r="B14" s="6" t="s">
        <v>14</v>
      </c>
      <c r="C14" s="3">
        <v>7000</v>
      </c>
      <c r="D14" s="3">
        <v>7000</v>
      </c>
      <c r="E14" s="3">
        <v>7000</v>
      </c>
      <c r="F14" s="3">
        <v>7000</v>
      </c>
      <c r="G14" s="3">
        <v>7000</v>
      </c>
      <c r="H14" s="3">
        <v>7000</v>
      </c>
      <c r="I14" s="3">
        <v>7000</v>
      </c>
      <c r="J14" s="3">
        <v>7000</v>
      </c>
      <c r="K14" s="3">
        <v>7000</v>
      </c>
      <c r="L14" s="3">
        <v>7000</v>
      </c>
      <c r="M14" s="3">
        <v>7000</v>
      </c>
      <c r="N14" s="3">
        <v>7000</v>
      </c>
      <c r="O14" s="3">
        <v>7000</v>
      </c>
    </row>
    <row r="15" spans="2:15" x14ac:dyDescent="0.45">
      <c r="B15" s="6" t="s">
        <v>15</v>
      </c>
      <c r="C15" s="3">
        <f>C7*10%</f>
        <v>225000</v>
      </c>
      <c r="D15" s="3">
        <f t="shared" ref="D15:O15" si="1">D7*10%</f>
        <v>225000</v>
      </c>
      <c r="E15" s="3">
        <f t="shared" si="1"/>
        <v>225000</v>
      </c>
      <c r="F15" s="3">
        <f t="shared" si="1"/>
        <v>225000</v>
      </c>
      <c r="G15" s="3">
        <f t="shared" si="1"/>
        <v>225000</v>
      </c>
      <c r="H15" s="3">
        <f t="shared" si="1"/>
        <v>225000</v>
      </c>
      <c r="I15" s="3">
        <f t="shared" si="1"/>
        <v>225000</v>
      </c>
      <c r="J15" s="3">
        <f t="shared" si="1"/>
        <v>225000</v>
      </c>
      <c r="K15" s="3">
        <f t="shared" si="1"/>
        <v>225000</v>
      </c>
      <c r="L15" s="3">
        <f t="shared" si="1"/>
        <v>225000</v>
      </c>
      <c r="M15" s="3">
        <f t="shared" si="1"/>
        <v>225000</v>
      </c>
      <c r="N15" s="3">
        <f t="shared" si="1"/>
        <v>225000</v>
      </c>
      <c r="O15" s="3">
        <f t="shared" si="1"/>
        <v>2700000</v>
      </c>
    </row>
    <row r="16" spans="2:15" x14ac:dyDescent="0.45">
      <c r="B16" s="6" t="s">
        <v>19</v>
      </c>
      <c r="C16" s="3">
        <v>15000</v>
      </c>
      <c r="D16" s="3">
        <v>15000</v>
      </c>
      <c r="E16" s="3">
        <v>15000</v>
      </c>
      <c r="F16" s="3">
        <v>15000</v>
      </c>
      <c r="G16" s="3">
        <v>15000</v>
      </c>
      <c r="H16" s="3">
        <v>15000</v>
      </c>
      <c r="I16" s="3">
        <v>15000</v>
      </c>
      <c r="J16" s="3">
        <v>15000</v>
      </c>
      <c r="K16" s="3">
        <v>15000</v>
      </c>
      <c r="L16" s="3">
        <v>15000</v>
      </c>
      <c r="M16" s="3">
        <v>15000</v>
      </c>
      <c r="N16" s="3">
        <v>15000</v>
      </c>
      <c r="O16" s="3">
        <v>15000</v>
      </c>
    </row>
    <row r="17" spans="2:15" x14ac:dyDescent="0.45">
      <c r="B17" s="6" t="s">
        <v>22</v>
      </c>
      <c r="C17" s="3">
        <v>20000</v>
      </c>
      <c r="D17" s="3">
        <v>20000</v>
      </c>
      <c r="E17" s="3">
        <v>20000</v>
      </c>
      <c r="F17" s="3">
        <v>20000</v>
      </c>
      <c r="G17" s="3">
        <v>20000</v>
      </c>
      <c r="H17" s="3">
        <v>20000</v>
      </c>
      <c r="I17" s="3">
        <v>20000</v>
      </c>
      <c r="J17" s="3">
        <v>20000</v>
      </c>
      <c r="K17" s="3">
        <v>20000</v>
      </c>
      <c r="L17" s="3">
        <v>20000</v>
      </c>
      <c r="M17" s="3">
        <v>20000</v>
      </c>
      <c r="N17" s="3">
        <v>20000</v>
      </c>
      <c r="O17" s="3">
        <v>20000</v>
      </c>
    </row>
    <row r="18" spans="2:15" x14ac:dyDescent="0.45">
      <c r="B18" s="6" t="s">
        <v>21</v>
      </c>
      <c r="C18" s="3">
        <v>800</v>
      </c>
      <c r="D18" s="3">
        <v>800</v>
      </c>
      <c r="E18" s="3">
        <v>800</v>
      </c>
      <c r="F18" s="3">
        <v>800</v>
      </c>
      <c r="G18" s="3">
        <v>800</v>
      </c>
      <c r="H18" s="3">
        <v>800</v>
      </c>
      <c r="I18" s="3">
        <v>800</v>
      </c>
      <c r="J18" s="3">
        <v>800</v>
      </c>
      <c r="K18" s="3">
        <v>800</v>
      </c>
      <c r="L18" s="3">
        <v>800</v>
      </c>
      <c r="M18" s="3">
        <v>800</v>
      </c>
      <c r="N18" s="3">
        <v>800</v>
      </c>
      <c r="O18" s="3">
        <v>800</v>
      </c>
    </row>
    <row r="19" spans="2:15" s="16" customFormat="1" x14ac:dyDescent="0.45">
      <c r="B19" s="17" t="s">
        <v>35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2:15" ht="14.65" thickBot="1" x14ac:dyDescent="0.5">
      <c r="B20" s="9" t="s">
        <v>20</v>
      </c>
      <c r="C20" s="10">
        <f>SUM(C10:C19)</f>
        <v>327800</v>
      </c>
      <c r="D20" s="10">
        <f>SUM(D10:D19)</f>
        <v>327800</v>
      </c>
      <c r="E20" s="10">
        <f>SUM(E10:E19)</f>
        <v>327800</v>
      </c>
      <c r="F20" s="10">
        <f>SUM(F10:F19)</f>
        <v>327800</v>
      </c>
      <c r="G20" s="10">
        <f>SUM(G10:G19)</f>
        <v>327800</v>
      </c>
      <c r="H20" s="10">
        <f>SUM(H10:H19)</f>
        <v>327800</v>
      </c>
      <c r="I20" s="10">
        <f>SUM(I10:I19)</f>
        <v>327800</v>
      </c>
      <c r="J20" s="10">
        <f>SUM(J10:J19)</f>
        <v>327800</v>
      </c>
      <c r="K20" s="10">
        <f>SUM(K10:K19)</f>
        <v>327800</v>
      </c>
      <c r="L20" s="10">
        <f>SUM(L10:L19)</f>
        <v>327800</v>
      </c>
      <c r="M20" s="10">
        <f>SUM(M10:M19)</f>
        <v>327800</v>
      </c>
      <c r="N20" s="10">
        <f>SUM(N10:N19)</f>
        <v>327800</v>
      </c>
      <c r="O20" s="10">
        <f>SUM(C20:N20)</f>
        <v>3933600</v>
      </c>
    </row>
    <row r="21" spans="2:15" x14ac:dyDescent="0.45">
      <c r="B21" s="6"/>
    </row>
    <row r="22" spans="2:15" ht="14.65" thickBot="1" x14ac:dyDescent="0.5">
      <c r="B22" s="9" t="s">
        <v>16</v>
      </c>
      <c r="C22" s="10">
        <f>C7-C20</f>
        <v>1922200</v>
      </c>
      <c r="D22" s="10">
        <f>D7-D20</f>
        <v>1922200</v>
      </c>
      <c r="E22" s="10">
        <f>E7-E20</f>
        <v>1922200</v>
      </c>
      <c r="F22" s="10">
        <f>F7-F20</f>
        <v>1922200</v>
      </c>
      <c r="G22" s="10">
        <f>G7-G20</f>
        <v>1922200</v>
      </c>
      <c r="H22" s="10">
        <f>H7-H20</f>
        <v>1922200</v>
      </c>
      <c r="I22" s="10">
        <f>I7-I20</f>
        <v>1922200</v>
      </c>
      <c r="J22" s="10">
        <f>J7-J20</f>
        <v>1922200</v>
      </c>
      <c r="K22" s="10">
        <f>K7-K20</f>
        <v>1922200</v>
      </c>
      <c r="L22" s="10">
        <f>L7-L20</f>
        <v>1922200</v>
      </c>
      <c r="M22" s="10">
        <f>M7-M20</f>
        <v>1922200</v>
      </c>
      <c r="N22" s="10">
        <f>N7-N20</f>
        <v>1922200</v>
      </c>
      <c r="O22" s="10">
        <f t="shared" ref="O22" si="2">SUM(C22:N22)</f>
        <v>23066400</v>
      </c>
    </row>
    <row r="23" spans="2:15" x14ac:dyDescent="0.45">
      <c r="B23" s="6"/>
    </row>
    <row r="24" spans="2:15" ht="14.65" thickBot="1" x14ac:dyDescent="0.5">
      <c r="B24" s="9" t="s">
        <v>24</v>
      </c>
      <c r="C24" s="10">
        <f>C22</f>
        <v>1922200</v>
      </c>
      <c r="D24" s="10">
        <f>C24+C35+D22</f>
        <v>4344400</v>
      </c>
      <c r="E24" s="10">
        <f>D33+D35+E22</f>
        <v>6266600</v>
      </c>
      <c r="F24" s="10">
        <f>E33+E35+F22</f>
        <v>8188800</v>
      </c>
      <c r="G24" s="10">
        <f>F33+F35+G22</f>
        <v>10111000</v>
      </c>
      <c r="H24" s="10">
        <f>G33+G35+H22</f>
        <v>12033200</v>
      </c>
      <c r="I24" s="10">
        <f>H33+H35+I22</f>
        <v>13955400</v>
      </c>
      <c r="J24" s="10">
        <f>I33+I35+J22</f>
        <v>15877600</v>
      </c>
      <c r="K24" s="10">
        <f>J33+J35+K22</f>
        <v>17799800</v>
      </c>
      <c r="L24" s="10">
        <f>K33+K35+L22</f>
        <v>19722000</v>
      </c>
      <c r="M24" s="10">
        <f>L33+L35+M22</f>
        <v>21644200</v>
      </c>
      <c r="N24" s="10">
        <f>M33+M35+N22</f>
        <v>23566400</v>
      </c>
      <c r="O24" s="10"/>
    </row>
    <row r="25" spans="2:15" x14ac:dyDescent="0.45">
      <c r="B25" s="6"/>
    </row>
    <row r="26" spans="2:15" x14ac:dyDescent="0.45">
      <c r="B26" s="6" t="s">
        <v>28</v>
      </c>
      <c r="C26" s="12">
        <f>100%-(C20/C7)</f>
        <v>0.85431111111111113</v>
      </c>
      <c r="D26" s="12">
        <f>100%-(D20/D7)</f>
        <v>0.85431111111111113</v>
      </c>
      <c r="E26" s="12">
        <f>100%-(E20/E7)</f>
        <v>0.85431111111111113</v>
      </c>
      <c r="F26" s="12">
        <f>100%-(F20/F7)</f>
        <v>0.85431111111111113</v>
      </c>
      <c r="G26" s="12">
        <f>100%-(G20/G7)</f>
        <v>0.85431111111111113</v>
      </c>
      <c r="H26" s="12">
        <f>100%-(H20/H7)</f>
        <v>0.85431111111111113</v>
      </c>
      <c r="I26" s="12">
        <f>100%-(I20/I7)</f>
        <v>0.85431111111111113</v>
      </c>
      <c r="J26" s="12">
        <f>100%-(J20/J7)</f>
        <v>0.85431111111111113</v>
      </c>
      <c r="K26" s="12">
        <f>100%-(K20/K7)</f>
        <v>0.85431111111111113</v>
      </c>
      <c r="L26" s="12">
        <f>100%-(L20/L7)</f>
        <v>0.85431111111111113</v>
      </c>
      <c r="M26" s="12">
        <f>100%-(M20/M7)</f>
        <v>0.85431111111111113</v>
      </c>
      <c r="N26" s="12">
        <f>100%-(N20/N7)</f>
        <v>0.85431111111111113</v>
      </c>
      <c r="O26" s="12">
        <f>100%-(O20/O7)</f>
        <v>0.85431111111111113</v>
      </c>
    </row>
    <row r="27" spans="2:15" x14ac:dyDescent="0.45">
      <c r="B27" s="6"/>
    </row>
    <row r="28" spans="2:15" ht="14.65" thickBot="1" x14ac:dyDescent="0.5">
      <c r="B28" s="9" t="s">
        <v>23</v>
      </c>
      <c r="C28" s="10"/>
      <c r="D28" s="11">
        <v>500000</v>
      </c>
      <c r="E28" s="11">
        <v>500000</v>
      </c>
      <c r="F28" s="11">
        <v>500000</v>
      </c>
      <c r="G28" s="11">
        <v>500000</v>
      </c>
      <c r="H28" s="11">
        <v>500000</v>
      </c>
      <c r="I28" s="11">
        <v>500000</v>
      </c>
      <c r="J28" s="11">
        <v>500000</v>
      </c>
      <c r="K28" s="11">
        <v>500000</v>
      </c>
      <c r="L28" s="11">
        <v>500000</v>
      </c>
      <c r="M28" s="11">
        <v>500000</v>
      </c>
      <c r="N28" s="11">
        <v>500000</v>
      </c>
      <c r="O28" s="11"/>
    </row>
    <row r="29" spans="2:15" x14ac:dyDescent="0.45">
      <c r="B29" s="6" t="s">
        <v>27</v>
      </c>
      <c r="D29" s="3">
        <f>D28*50%</f>
        <v>250000</v>
      </c>
      <c r="E29" s="3">
        <f t="shared" ref="E29:N29" si="3">E28*50%</f>
        <v>250000</v>
      </c>
      <c r="F29" s="3">
        <f t="shared" si="3"/>
        <v>250000</v>
      </c>
      <c r="G29" s="3">
        <f t="shared" si="3"/>
        <v>250000</v>
      </c>
      <c r="H29" s="3">
        <f t="shared" si="3"/>
        <v>250000</v>
      </c>
      <c r="I29" s="3">
        <f t="shared" si="3"/>
        <v>250000</v>
      </c>
      <c r="J29" s="3">
        <f t="shared" si="3"/>
        <v>250000</v>
      </c>
      <c r="K29" s="3">
        <f t="shared" si="3"/>
        <v>250000</v>
      </c>
      <c r="L29" s="3">
        <f t="shared" si="3"/>
        <v>250000</v>
      </c>
      <c r="M29" s="3">
        <f t="shared" si="3"/>
        <v>250000</v>
      </c>
      <c r="N29" s="3">
        <f t="shared" si="3"/>
        <v>250000</v>
      </c>
      <c r="O29" s="3">
        <f t="shared" ref="O29:O31" si="4">SUM(C29:N29)</f>
        <v>2750000</v>
      </c>
    </row>
    <row r="30" spans="2:15" x14ac:dyDescent="0.45">
      <c r="B30" s="6" t="s">
        <v>36</v>
      </c>
      <c r="D30" s="3">
        <f>D28*50%</f>
        <v>250000</v>
      </c>
      <c r="E30" s="3">
        <f t="shared" ref="E30:N30" si="5">E28*50%</f>
        <v>250000</v>
      </c>
      <c r="F30" s="3">
        <f t="shared" si="5"/>
        <v>250000</v>
      </c>
      <c r="G30" s="3">
        <f t="shared" si="5"/>
        <v>250000</v>
      </c>
      <c r="H30" s="3">
        <f t="shared" si="5"/>
        <v>250000</v>
      </c>
      <c r="I30" s="3">
        <f t="shared" si="5"/>
        <v>250000</v>
      </c>
      <c r="J30" s="3">
        <f t="shared" si="5"/>
        <v>250000</v>
      </c>
      <c r="K30" s="3">
        <f t="shared" si="5"/>
        <v>250000</v>
      </c>
      <c r="L30" s="3">
        <f t="shared" si="5"/>
        <v>250000</v>
      </c>
      <c r="M30" s="3">
        <f t="shared" si="5"/>
        <v>250000</v>
      </c>
      <c r="N30" s="3">
        <f t="shared" si="5"/>
        <v>250000</v>
      </c>
      <c r="O30" s="3">
        <f t="shared" si="4"/>
        <v>2750000</v>
      </c>
    </row>
    <row r="31" spans="2:15" ht="14.65" thickBot="1" x14ac:dyDescent="0.5">
      <c r="B31" s="9" t="s">
        <v>25</v>
      </c>
      <c r="C31" s="10"/>
      <c r="D31" s="10">
        <f>SUM(D29:D30)</f>
        <v>500000</v>
      </c>
      <c r="E31" s="10">
        <f>SUM(E29:E30)</f>
        <v>500000</v>
      </c>
      <c r="F31" s="10">
        <f>SUM(F29:F30)</f>
        <v>500000</v>
      </c>
      <c r="G31" s="10">
        <f>SUM(G29:G30)</f>
        <v>500000</v>
      </c>
      <c r="H31" s="10">
        <f>SUM(H29:H30)</f>
        <v>500000</v>
      </c>
      <c r="I31" s="10">
        <f>SUM(I29:I30)</f>
        <v>500000</v>
      </c>
      <c r="J31" s="10">
        <f>SUM(J29:J30)</f>
        <v>500000</v>
      </c>
      <c r="K31" s="10">
        <f>SUM(K29:K30)</f>
        <v>500000</v>
      </c>
      <c r="L31" s="10">
        <f>SUM(L29:L30)</f>
        <v>500000</v>
      </c>
      <c r="M31" s="10">
        <f>SUM(M29:M30)</f>
        <v>500000</v>
      </c>
      <c r="N31" s="10">
        <f>SUM(N29:N30)</f>
        <v>500000</v>
      </c>
      <c r="O31" s="10">
        <f t="shared" si="4"/>
        <v>5500000</v>
      </c>
    </row>
    <row r="32" spans="2:15" x14ac:dyDescent="0.45">
      <c r="B32" s="6"/>
    </row>
    <row r="33" spans="2:15" ht="14.65" thickBot="1" x14ac:dyDescent="0.5">
      <c r="B33" s="9" t="s">
        <v>26</v>
      </c>
      <c r="C33" s="10"/>
      <c r="D33" s="10">
        <f>D24-D31</f>
        <v>3844400</v>
      </c>
      <c r="E33" s="10">
        <f>E24-E31</f>
        <v>5766600</v>
      </c>
      <c r="F33" s="10">
        <f>F24-F31</f>
        <v>7688800</v>
      </c>
      <c r="G33" s="10">
        <f>G24-G31</f>
        <v>9611000</v>
      </c>
      <c r="H33" s="10">
        <f>H24-H31</f>
        <v>11533200</v>
      </c>
      <c r="I33" s="10">
        <f>I24-I31</f>
        <v>13455400</v>
      </c>
      <c r="J33" s="10">
        <f>J24-J31</f>
        <v>15377600</v>
      </c>
      <c r="K33" s="10">
        <f>K24-K31</f>
        <v>17299800</v>
      </c>
      <c r="L33" s="10">
        <f>L24-L31</f>
        <v>19222000</v>
      </c>
      <c r="M33" s="10">
        <f>M24-M31</f>
        <v>21144200</v>
      </c>
      <c r="N33" s="10">
        <f>N24-N31</f>
        <v>23066400</v>
      </c>
      <c r="O33" s="10"/>
    </row>
    <row r="35" spans="2:15" ht="14.65" thickBot="1" x14ac:dyDescent="0.5">
      <c r="B35" s="5" t="s">
        <v>37</v>
      </c>
      <c r="C35" s="8">
        <v>500000</v>
      </c>
      <c r="D35" s="8">
        <v>500000</v>
      </c>
      <c r="E35" s="8">
        <v>500000</v>
      </c>
      <c r="F35" s="8">
        <v>500000</v>
      </c>
      <c r="G35" s="8">
        <v>500000</v>
      </c>
      <c r="H35" s="8">
        <v>500000</v>
      </c>
      <c r="I35" s="8">
        <v>500000</v>
      </c>
      <c r="J35" s="8">
        <v>500000</v>
      </c>
      <c r="K35" s="8">
        <v>500000</v>
      </c>
      <c r="L35" s="8">
        <v>500000</v>
      </c>
      <c r="M35" s="8">
        <v>500000</v>
      </c>
      <c r="N35" s="8">
        <v>500000</v>
      </c>
      <c r="O35" s="8">
        <v>500000</v>
      </c>
    </row>
    <row r="39" spans="2:15" x14ac:dyDescent="0.45">
      <c r="B39" s="7"/>
    </row>
    <row r="49" spans="2:2" x14ac:dyDescent="0.45">
      <c r="B49" s="7"/>
    </row>
  </sheetData>
  <mergeCells count="1">
    <mergeCell ref="B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| Ativa Importadora</dc:creator>
  <cp:lastModifiedBy>Samson Ativa Importadora</cp:lastModifiedBy>
  <dcterms:created xsi:type="dcterms:W3CDTF">2025-12-11T01:51:39Z</dcterms:created>
  <dcterms:modified xsi:type="dcterms:W3CDTF">2025-12-18T04:08:22Z</dcterms:modified>
</cp:coreProperties>
</file>